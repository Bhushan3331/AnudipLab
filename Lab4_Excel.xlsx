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nudip_Foundation\AnudipLectureDomain\"/>
    </mc:Choice>
  </mc:AlternateContent>
  <bookViews>
    <workbookView xWindow="0" yWindow="0" windowWidth="19200" windowHeight="6936"/>
  </bookViews>
  <sheets>
    <sheet name="Products" sheetId="1" r:id="rId1"/>
    <sheet name="Orders" sheetId="2" r:id="rId2"/>
    <sheet name="Analysis" sheetId="3" r:id="rId3"/>
    <sheet name="Product Summary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C2" i="4"/>
  <c r="B3" i="4"/>
  <c r="B4" i="4"/>
  <c r="B5" i="4"/>
  <c r="B6" i="4"/>
  <c r="B7" i="4"/>
  <c r="B2" i="4"/>
  <c r="A3" i="4"/>
  <c r="A4" i="4"/>
  <c r="A5" i="4"/>
  <c r="A6" i="4"/>
  <c r="A7" i="4"/>
  <c r="A2" i="4"/>
  <c r="B2" i="3"/>
  <c r="F8" i="2"/>
  <c r="G3" i="2"/>
  <c r="G4" i="2"/>
  <c r="G5" i="2"/>
  <c r="G6" i="2"/>
  <c r="G7" i="2"/>
  <c r="G2" i="2"/>
  <c r="H7" i="2"/>
  <c r="H6" i="2"/>
  <c r="H3" i="2"/>
  <c r="H4" i="2"/>
  <c r="H5" i="2"/>
  <c r="H2" i="2"/>
  <c r="F3" i="2"/>
  <c r="F4" i="2"/>
  <c r="F5" i="2"/>
  <c r="F6" i="2"/>
  <c r="F7" i="2"/>
  <c r="F2" i="2"/>
  <c r="E7" i="2"/>
  <c r="E6" i="2"/>
  <c r="E3" i="2"/>
  <c r="E4" i="2"/>
  <c r="E5" i="2"/>
  <c r="E2" i="2"/>
  <c r="D7" i="2"/>
  <c r="D6" i="2"/>
  <c r="D3" i="2"/>
  <c r="D4" i="2"/>
  <c r="D5" i="2"/>
  <c r="D2" i="2"/>
</calcChain>
</file>

<file path=xl/sharedStrings.xml><?xml version="1.0" encoding="utf-8"?>
<sst xmlns="http://schemas.openxmlformats.org/spreadsheetml/2006/main" count="32" uniqueCount="29">
  <si>
    <t>ProductID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</si>
  <si>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</si>
  <si>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</si>
  <si>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</si>
  <si>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</si>
  <si>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</si>
  <si>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</si>
  <si>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</si>
  <si>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</si>
  <si>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OrderID</t>
  </si>
  <si>
    <t>Quantity</t>
  </si>
  <si>
    <t>ProductName</t>
  </si>
  <si>
    <t>UnitPrice</t>
  </si>
  <si>
    <t>TotalPrice</t>
  </si>
  <si>
    <t>DiscountedPrice</t>
  </si>
  <si>
    <t>Exists?</t>
  </si>
  <si>
    <t>1. Use VLOOKUP to find the product names for each ProductID in the Orders worksheet.</t>
  </si>
  <si>
    <t>2. Use VLOOKUP to find the price for each ProductID in the Orders worksheet, then calculate the TotalPrice by multiplying the Quantity by the Product Price.</t>
  </si>
  <si>
    <t>3. Use VLOOKUP to check if there are any ProductIDs in the Orders worksheet that do not exist in the Products worksheet.</t>
  </si>
  <si>
    <t>4. Assume a discount of 10% is given on all products. Use VLOOKUP to find the original price and then calculate the discounted price.</t>
  </si>
  <si>
    <t>5. Use VLOOKUP to find the price for each ProductID and then calculate the order value. Find the maximum order value from the list.</t>
  </si>
  <si>
    <t>6. Use VLOOKUP to find out which products from the Products worksheet have not been ordered.</t>
  </si>
  <si>
    <t>7. Use VLOOKUP to find the Product name and summarize the total quantity sold for each product.</t>
  </si>
  <si>
    <r>
      <t>T</t>
    </r>
    <r>
      <rPr>
        <b/>
        <sz val="11"/>
        <rFont val="Calibri"/>
        <family val="2"/>
      </rPr>
      <t xml:space="preserve">ask : </t>
    </r>
  </si>
  <si>
    <t xml:space="preserve">Result </t>
  </si>
  <si>
    <t xml:space="preserve">Maximum Order Value : </t>
  </si>
  <si>
    <t xml:space="preserve">Product not Orderd : </t>
  </si>
  <si>
    <t xml:space="preserve">Total Quantity Sold </t>
  </si>
  <si>
    <t>all product have been ordered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</si>
</sst>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H10" sqref="H10"/>
    </sheetView>
  </sheetViews>
  <sheetFormatPr defaultRowHeight="14.4" x14ac:dyDescent="0.3"/>
  <cols>
    <col min="2" max="2" width="13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101</v>
      </c>
      <c r="B2" s="2" t="s">
        <v>3</v>
      </c>
      <c r="C2" s="2">
        <v>120</v>
      </c>
    </row>
    <row r="3" spans="1:3" x14ac:dyDescent="0.3">
      <c r="A3" s="2">
        <v>102</v>
      </c>
      <c r="B3" s="2" t="s">
        <v>4</v>
      </c>
      <c r="C3" s="2">
        <v>150</v>
      </c>
    </row>
    <row r="4" spans="1:3" x14ac:dyDescent="0.3">
      <c r="A4" s="2">
        <v>103</v>
      </c>
      <c r="B4" s="2" t="s">
        <v>5</v>
      </c>
      <c r="C4" s="2">
        <v>200</v>
      </c>
    </row>
    <row r="5" spans="1:3" x14ac:dyDescent="0.3">
      <c r="A5" s="2">
        <v>104</v>
      </c>
      <c r="B5" s="2" t="s">
        <v>6</v>
      </c>
      <c r="C5" s="2">
        <v>90</v>
      </c>
    </row>
    <row r="6" spans="1:3" x14ac:dyDescent="0.3">
      <c r="A6" s="2">
        <v>105</v>
      </c>
      <c r="B6" s="2" t="s">
        <v>7</v>
      </c>
      <c r="C6" s="2">
        <v>220</v>
      </c>
    </row>
    <row r="7" spans="1:3" x14ac:dyDescent="0.3">
      <c r="A7" s="2">
        <v>106</v>
      </c>
      <c r="B7" s="2" t="s">
        <v>8</v>
      </c>
      <c r="C7" s="2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D2" sqref="D2:D7"/>
    </sheetView>
  </sheetViews>
  <sheetFormatPr defaultRowHeight="14.4" x14ac:dyDescent="0.3"/>
  <cols>
    <col min="1" max="1" width="12" customWidth="1"/>
    <col min="2" max="2" width="14" customWidth="1"/>
    <col min="3" max="3" width="13" customWidth="1"/>
    <col min="4" max="5" width="44" customWidth="1"/>
    <col min="6" max="6" width="15" customWidth="1"/>
    <col min="7" max="7" width="20" customWidth="1"/>
    <col min="8" max="8" width="75" customWidth="1"/>
  </cols>
  <sheetData>
    <row r="1" spans="1:8" x14ac:dyDescent="0.3">
      <c r="A1" s="1" t="s">
        <v>9</v>
      </c>
      <c r="B1" s="3" t="s">
        <v>0</v>
      </c>
      <c r="C1" s="1" t="s">
        <v>10</v>
      </c>
      <c r="D1" s="3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 x14ac:dyDescent="0.3">
      <c r="A2" s="2">
        <v>1</v>
      </c>
      <c r="B2" s="2">
        <v>101</v>
      </c>
      <c r="C2" s="2">
        <v>2</v>
      </c>
      <c r="D2" s="2" t="str">
        <f>VLOOKUP(B2,Products!A2:C7,2)</f>
        <v>Product A</v>
      </c>
      <c r="E2" s="2">
        <f>VLOOKUP(B2,Products!A2:C7,3)</f>
        <v>120</v>
      </c>
      <c r="F2" s="2">
        <f>C2*E2</f>
        <v>240</v>
      </c>
      <c r="G2" s="2">
        <f>E2*90%</f>
        <v>108</v>
      </c>
      <c r="H2" s="2" t="str">
        <f>IF(ISNA(VLOOKUP(Orders!B2,Products!A2:C7,1)),"not exist","exist")</f>
        <v>exist</v>
      </c>
    </row>
    <row r="3" spans="1:8" x14ac:dyDescent="0.3">
      <c r="A3" s="2">
        <v>2</v>
      </c>
      <c r="B3" s="2">
        <v>103</v>
      </c>
      <c r="C3" s="2">
        <v>1</v>
      </c>
      <c r="D3" s="2" t="str">
        <f>VLOOKUP(B3,Products!A3:C8,2)</f>
        <v>Product C</v>
      </c>
      <c r="E3" s="2">
        <f>VLOOKUP(B3,Products!A3:C8,3)</f>
        <v>200</v>
      </c>
      <c r="F3" s="2">
        <f t="shared" ref="F3:F7" si="0">C3*E3</f>
        <v>200</v>
      </c>
      <c r="G3" s="2">
        <f t="shared" ref="G3:G7" si="1">E3*90%</f>
        <v>180</v>
      </c>
      <c r="H3" s="2" t="str">
        <f>IF(ISNA(VLOOKUP(Orders!B3,Products!A3:C8,1)),"not exist","exist")</f>
        <v>exist</v>
      </c>
    </row>
    <row r="4" spans="1:8" x14ac:dyDescent="0.3">
      <c r="A4" s="2">
        <v>3</v>
      </c>
      <c r="B4" s="2">
        <v>105</v>
      </c>
      <c r="C4" s="2">
        <v>4</v>
      </c>
      <c r="D4" s="2" t="str">
        <f>VLOOKUP(B4,Products!A4:C9,2)</f>
        <v>Product E</v>
      </c>
      <c r="E4" s="2">
        <f>VLOOKUP(B4,Products!A4:C9,3)</f>
        <v>220</v>
      </c>
      <c r="F4" s="2">
        <f t="shared" si="0"/>
        <v>880</v>
      </c>
      <c r="G4" s="2">
        <f t="shared" si="1"/>
        <v>198</v>
      </c>
      <c r="H4" s="2" t="str">
        <f>IF(ISNA(VLOOKUP(Orders!B4,Products!A4:C9,1)),"not exist","exist")</f>
        <v>exist</v>
      </c>
    </row>
    <row r="5" spans="1:8" x14ac:dyDescent="0.3">
      <c r="A5" s="2">
        <v>4</v>
      </c>
      <c r="B5" s="2">
        <v>106</v>
      </c>
      <c r="C5" s="2">
        <v>3</v>
      </c>
      <c r="D5" s="2" t="str">
        <f>VLOOKUP(B5,Products!A5:C10,2)</f>
        <v>Product F</v>
      </c>
      <c r="E5" s="2">
        <f>VLOOKUP(B5,Products!A5:C10,3)</f>
        <v>130</v>
      </c>
      <c r="F5" s="2">
        <f t="shared" si="0"/>
        <v>390</v>
      </c>
      <c r="G5" s="2">
        <f t="shared" si="1"/>
        <v>117</v>
      </c>
      <c r="H5" s="2" t="str">
        <f>IF(ISNA(VLOOKUP(Orders!B5,Products!A5:C10,1)),"not exist","exist")</f>
        <v>exist</v>
      </c>
    </row>
    <row r="6" spans="1:8" x14ac:dyDescent="0.3">
      <c r="A6" s="2">
        <v>5</v>
      </c>
      <c r="B6" s="2">
        <v>102</v>
      </c>
      <c r="C6" s="2">
        <v>5</v>
      </c>
      <c r="D6" s="2" t="str">
        <f>VLOOKUP(B6,Products!A2:C7,2)</f>
        <v>Product B</v>
      </c>
      <c r="E6" s="2">
        <f>VLOOKUP(B6,Products!A2:C7,3)</f>
        <v>150</v>
      </c>
      <c r="F6" s="2">
        <f t="shared" si="0"/>
        <v>750</v>
      </c>
      <c r="G6" s="2">
        <f t="shared" si="1"/>
        <v>135</v>
      </c>
      <c r="H6" s="2" t="str">
        <f>IF(ISNA(VLOOKUP(Orders!B6,Products!A2:C7,1)),"not exist","exist")</f>
        <v>exist</v>
      </c>
    </row>
    <row r="7" spans="1:8" x14ac:dyDescent="0.3">
      <c r="A7" s="2">
        <v>6</v>
      </c>
      <c r="B7" s="2">
        <v>104</v>
      </c>
      <c r="C7" s="2">
        <v>6</v>
      </c>
      <c r="D7" s="2" t="str">
        <f>VLOOKUP(B7,Products!A2:C7,2)</f>
        <v>Product D</v>
      </c>
      <c r="E7" s="2">
        <f>VLOOKUP(B7,Products!A2:C7,3)</f>
        <v>90</v>
      </c>
      <c r="F7" s="2">
        <f t="shared" si="0"/>
        <v>540</v>
      </c>
      <c r="G7" s="2">
        <f t="shared" si="1"/>
        <v>81</v>
      </c>
      <c r="H7" s="2" t="str">
        <f>IF(ISNA(VLOOKUP(Orders!B7,Products!A2:C7,1)),"not exist","exist")</f>
        <v>exist</v>
      </c>
    </row>
    <row r="8" spans="1:8" x14ac:dyDescent="0.3">
      <c r="F8" s="9">
        <f>MAX(F2:F7)</f>
        <v>880</v>
      </c>
    </row>
    <row r="10" spans="1:8" x14ac:dyDescent="0.3">
      <c r="A10" s="8" t="s">
        <v>16</v>
      </c>
      <c r="B10" s="8"/>
      <c r="C10" s="8"/>
      <c r="D10" s="8"/>
      <c r="E10" s="8"/>
      <c r="F10" s="8"/>
      <c r="G10" s="8"/>
    </row>
    <row r="11" spans="1:8" x14ac:dyDescent="0.3">
      <c r="A11" s="8" t="s">
        <v>17</v>
      </c>
      <c r="B11" s="8"/>
      <c r="C11" s="8"/>
      <c r="D11" s="8"/>
      <c r="E11" s="8"/>
      <c r="F11" s="8"/>
      <c r="G11" s="8"/>
    </row>
    <row r="12" spans="1:8" x14ac:dyDescent="0.3">
      <c r="A12" s="8" t="s">
        <v>18</v>
      </c>
      <c r="B12" s="8"/>
      <c r="C12" s="8"/>
      <c r="D12" s="8"/>
      <c r="E12" s="8"/>
      <c r="F12" s="8"/>
      <c r="G12" s="8"/>
    </row>
    <row r="13" spans="1:8" x14ac:dyDescent="0.3">
      <c r="A13" s="8" t="s">
        <v>19</v>
      </c>
      <c r="B13" s="8"/>
      <c r="C13" s="8"/>
      <c r="D13" s="8"/>
      <c r="E13" s="8"/>
      <c r="F13" s="8"/>
      <c r="G13" s="8"/>
    </row>
    <row r="14" spans="1:8" x14ac:dyDescent="0.3">
      <c r="A14" s="8" t="s">
        <v>20</v>
      </c>
      <c r="B14" s="8"/>
      <c r="C14" s="8"/>
      <c r="D14" s="8"/>
      <c r="E14" s="8"/>
      <c r="F14" s="8"/>
      <c r="G14" s="8"/>
    </row>
    <row r="15" spans="1:8" x14ac:dyDescent="0.3">
      <c r="A15" s="8" t="s">
        <v>21</v>
      </c>
      <c r="B15" s="8"/>
      <c r="C15" s="8"/>
      <c r="D15" s="8"/>
      <c r="E15" s="8"/>
      <c r="F15" s="8"/>
      <c r="G15" s="8"/>
    </row>
    <row r="16" spans="1:8" x14ac:dyDescent="0.3">
      <c r="A16" s="8" t="s">
        <v>22</v>
      </c>
      <c r="B16" s="8"/>
      <c r="C16" s="8"/>
      <c r="D16" s="8"/>
      <c r="E16" s="8"/>
      <c r="F16" s="8"/>
      <c r="G16" s="8"/>
    </row>
  </sheetData>
  <mergeCells count="7">
    <mergeCell ref="A16:G16"/>
    <mergeCell ref="A10:G10"/>
    <mergeCell ref="A11:G11"/>
    <mergeCell ref="A12:G12"/>
    <mergeCell ref="A13:G13"/>
    <mergeCell ref="A14:G14"/>
    <mergeCell ref="A15:G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4" sqref="B4"/>
    </sheetView>
  </sheetViews>
  <sheetFormatPr defaultRowHeight="14.4" x14ac:dyDescent="0.3"/>
  <cols>
    <col min="1" max="1" width="23" customWidth="1"/>
    <col min="2" max="2" width="32.6640625" customWidth="1"/>
  </cols>
  <sheetData>
    <row r="1" spans="1:2" x14ac:dyDescent="0.3">
      <c r="A1" s="4" t="s">
        <v>23</v>
      </c>
      <c r="B1" s="5" t="s">
        <v>24</v>
      </c>
    </row>
    <row r="2" spans="1:2" x14ac:dyDescent="0.3">
      <c r="A2" t="s">
        <v>25</v>
      </c>
      <c r="B2" s="6">
        <f>MAX(Orders!F2:F7)</f>
        <v>880</v>
      </c>
    </row>
    <row r="3" spans="1:2" x14ac:dyDescent="0.3">
      <c r="A3" t="s">
        <v>26</v>
      </c>
      <c r="B3" s="6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C3" sqref="C3"/>
    </sheetView>
  </sheetViews>
  <sheetFormatPr defaultRowHeight="14.4" x14ac:dyDescent="0.3"/>
  <cols>
    <col min="1" max="1" width="18.44140625" customWidth="1"/>
    <col min="2" max="2" width="19.109375" customWidth="1"/>
    <col min="3" max="3" width="21.21875" customWidth="1"/>
  </cols>
  <sheetData>
    <row r="1" spans="1:3" x14ac:dyDescent="0.3">
      <c r="A1" s="7" t="s">
        <v>0</v>
      </c>
      <c r="B1" s="7" t="s">
        <v>11</v>
      </c>
      <c r="C1" s="5" t="s">
        <v>27</v>
      </c>
    </row>
    <row r="2" spans="1:3" x14ac:dyDescent="0.3">
      <c r="A2">
        <f>Orders!B2:B7</f>
        <v>101</v>
      </c>
      <c r="B2" t="str">
        <f>Orders!D2:D7</f>
        <v>Product A</v>
      </c>
      <c r="C2">
        <f>SUMIF(Orders!B2:B7,A2,Orders!C2:C7)</f>
        <v>2</v>
      </c>
    </row>
    <row r="3" spans="1:3" x14ac:dyDescent="0.3">
      <c r="A3">
        <f>Orders!B3:B8</f>
        <v>103</v>
      </c>
      <c r="B3" t="str">
        <f>Orders!D3:D8</f>
        <v>Product C</v>
      </c>
      <c r="C3">
        <f>SUMIF(Orders!B3:B8,A3,Orders!C3:C8)</f>
        <v>1</v>
      </c>
    </row>
    <row r="4" spans="1:3" x14ac:dyDescent="0.3">
      <c r="A4">
        <f>Orders!B4:B9</f>
        <v>105</v>
      </c>
      <c r="B4" t="str">
        <f>Orders!D4:D9</f>
        <v>Product E</v>
      </c>
      <c r="C4">
        <f>SUMIF(Orders!B4:B9,A4,Orders!C4:C9)</f>
        <v>4</v>
      </c>
    </row>
    <row r="5" spans="1:3" x14ac:dyDescent="0.3">
      <c r="A5">
        <f>Orders!B5:B10</f>
        <v>106</v>
      </c>
      <c r="B5" t="str">
        <f>Orders!D5:D10</f>
        <v>Product F</v>
      </c>
      <c r="C5">
        <f>SUMIF(Orders!B5:B10,A5,Orders!C5:C10)</f>
        <v>3</v>
      </c>
    </row>
    <row r="6" spans="1:3" x14ac:dyDescent="0.3">
      <c r="A6">
        <f>Orders!B6:B11</f>
        <v>102</v>
      </c>
      <c r="B6" t="str">
        <f>Orders!D6:D11</f>
        <v>Product B</v>
      </c>
      <c r="C6">
        <f>SUMIF(Orders!B6:B11,A6,Orders!C6:C11)</f>
        <v>5</v>
      </c>
    </row>
    <row r="7" spans="1:3" x14ac:dyDescent="0.3">
      <c r="A7">
        <f>Orders!B7:B12</f>
        <v>104</v>
      </c>
      <c r="B7" t="str">
        <f>Orders!D7:D12</f>
        <v>Product D</v>
      </c>
      <c r="C7">
        <f>SUMIF(Orders!B7:B12,A7,Orders!C7:C12)</f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Orders</vt:lpstr>
      <vt:lpstr>Analysis</vt:lpstr>
      <vt:lpstr>Product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win10</cp:lastModifiedBy>
  <dcterms:created xsi:type="dcterms:W3CDTF">2026-07-03T07:17:40Z</dcterms:created>
  <dcterms:modified xsi:type="dcterms:W3CDTF">2026-07-03T09:06:13Z</dcterms:modified>
</cp:coreProperties>
</file>